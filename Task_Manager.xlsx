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ume\Excel Projects\"/>
    </mc:Choice>
  </mc:AlternateContent>
  <xr:revisionPtr revIDLastSave="0" documentId="13_ncr:1_{8749780C-127A-4D42-8EAF-077B6B7C43F1}" xr6:coauthVersionLast="47" xr6:coauthVersionMax="47" xr10:uidLastSave="{00000000-0000-0000-0000-000000000000}"/>
  <bookViews>
    <workbookView xWindow="-120" yWindow="-120" windowWidth="20730" windowHeight="11760" xr2:uid="{1A5F5666-BE82-F64F-A80E-7F153D5D7E43}"/>
  </bookViews>
  <sheets>
    <sheet name="Dashboard" sheetId="6" r:id="rId1"/>
    <sheet name="Support Sheet" sheetId="7" r:id="rId2"/>
  </sheets>
  <definedNames>
    <definedName name="age">#REF!</definedName>
    <definedName name="count">#REF!</definedName>
    <definedName name="wort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7" l="1"/>
  <c r="I5" i="7"/>
  <c r="I6" i="7"/>
  <c r="I3" i="7"/>
  <c r="F4" i="7"/>
  <c r="F5" i="7"/>
  <c r="F6" i="7"/>
  <c r="F7" i="7"/>
  <c r="F3" i="7"/>
  <c r="C5" i="7"/>
  <c r="C4" i="7"/>
  <c r="C3" i="7"/>
  <c r="J29" i="6"/>
  <c r="H29" i="6"/>
  <c r="J28" i="6"/>
  <c r="H28" i="6"/>
  <c r="J27" i="6"/>
  <c r="H27" i="6"/>
  <c r="J26" i="6"/>
  <c r="H26" i="6"/>
  <c r="J25" i="6"/>
  <c r="H25" i="6"/>
  <c r="J24" i="6"/>
  <c r="H24" i="6"/>
  <c r="J23" i="6"/>
  <c r="H23" i="6"/>
  <c r="J22" i="6"/>
  <c r="H22" i="6"/>
  <c r="J21" i="6"/>
  <c r="H21" i="6"/>
  <c r="J20" i="6"/>
  <c r="H20" i="6"/>
  <c r="J19" i="6"/>
  <c r="H19" i="6"/>
  <c r="J18" i="6"/>
  <c r="H18" i="6"/>
  <c r="J17" i="6"/>
  <c r="H17" i="6"/>
  <c r="J16" i="6"/>
  <c r="H16" i="6"/>
  <c r="J15" i="6"/>
  <c r="H15" i="6"/>
  <c r="C6" i="7" l="1"/>
  <c r="K3" i="7"/>
</calcChain>
</file>

<file path=xl/sharedStrings.xml><?xml version="1.0" encoding="utf-8"?>
<sst xmlns="http://schemas.openxmlformats.org/spreadsheetml/2006/main" count="120" uniqueCount="71">
  <si>
    <t>Task Name</t>
  </si>
  <si>
    <t>Task ID</t>
  </si>
  <si>
    <t>Start Date</t>
  </si>
  <si>
    <t>Due Date</t>
  </si>
  <si>
    <t>Status</t>
  </si>
  <si>
    <t>Overdue?</t>
  </si>
  <si>
    <t>Task Owner</t>
  </si>
  <si>
    <t>Comments</t>
  </si>
  <si>
    <t>In Progress</t>
  </si>
  <si>
    <t>Not Started</t>
  </si>
  <si>
    <t>Owners</t>
  </si>
  <si>
    <t>Task Duration</t>
  </si>
  <si>
    <t>Overdue</t>
  </si>
  <si>
    <t>T001</t>
  </si>
  <si>
    <t>Prepare Q4 Financial Report</t>
  </si>
  <si>
    <t>Sarah Johnson</t>
  </si>
  <si>
    <t>Completed</t>
  </si>
  <si>
    <t>Submitted to CFO for review.</t>
  </si>
  <si>
    <t>T002</t>
  </si>
  <si>
    <t>David Kim</t>
  </si>
  <si>
    <t>Draft findings ready; awaiting survey data.</t>
  </si>
  <si>
    <t>T003</t>
  </si>
  <si>
    <t>Redesign Website Homepage</t>
  </si>
  <si>
    <t>Wireframes approved; development in progress.</t>
  </si>
  <si>
    <t>T004</t>
  </si>
  <si>
    <t>Update Sales Forecast for FY2026</t>
  </si>
  <si>
    <t>James Miller</t>
  </si>
  <si>
    <t>Final version shared with Sales Director.</t>
  </si>
  <si>
    <t>T005</t>
  </si>
  <si>
    <t>Implement CRM Upgrade</t>
  </si>
  <si>
    <t>Alex Chen</t>
  </si>
  <si>
    <t>Vendor confirmed delivery timeline.</t>
  </si>
  <si>
    <t>T006</t>
  </si>
  <si>
    <t>Plan Annual Company Retreat</t>
  </si>
  <si>
    <t>Emily Davis</t>
  </si>
  <si>
    <t>Venue options being shortlisted.</t>
  </si>
  <si>
    <t>T007</t>
  </si>
  <si>
    <t>Updated contracts aligned with new regulation.</t>
  </si>
  <si>
    <t>T008</t>
  </si>
  <si>
    <t>Launch Social Media Campaign</t>
  </si>
  <si>
    <t>Marketing</t>
  </si>
  <si>
    <t>Initial creatives approved, campaign scheduled.</t>
  </si>
  <si>
    <t>T009</t>
  </si>
  <si>
    <t>Recruit New Data Analyst</t>
  </si>
  <si>
    <t>First round of interviews completed.</t>
  </si>
  <si>
    <t>T010</t>
  </si>
  <si>
    <t>Survey questions finalized.</t>
  </si>
  <si>
    <t>T011</t>
  </si>
  <si>
    <t>Prepare Investor Presentation</t>
  </si>
  <si>
    <t>Draft slides ready; awaiting financial highlights.</t>
  </si>
  <si>
    <t>T012</t>
  </si>
  <si>
    <t>External consultant engagement pending.</t>
  </si>
  <si>
    <t>T013</t>
  </si>
  <si>
    <t>Evaluate Vendor Proposals for Logistics</t>
  </si>
  <si>
    <t>Three proposals shortlisted for management review.</t>
  </si>
  <si>
    <t>T014</t>
  </si>
  <si>
    <t>Draft Q1 Marketing Strategy</t>
  </si>
  <si>
    <t>Strategy</t>
  </si>
  <si>
    <t>Kick-off meeting scheduled next week.</t>
  </si>
  <si>
    <t>T015</t>
  </si>
  <si>
    <t>Audit Internal Expense Reports</t>
  </si>
  <si>
    <t>Waiting for submission of all departmental reports.</t>
  </si>
  <si>
    <t>Conduct Market Research</t>
  </si>
  <si>
    <t>Review Legal for Contracts</t>
  </si>
  <si>
    <t>Conduct Employee Survey</t>
  </si>
  <si>
    <t>Finance</t>
  </si>
  <si>
    <t>HR</t>
  </si>
  <si>
    <t>Upgrade Infrastructure</t>
  </si>
  <si>
    <t>Count</t>
  </si>
  <si>
    <t>Team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</si>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</sst>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&quot; Days&quot;"/>
  </numFmts>
  <fonts count="7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  <font>
      <sz val="12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2577A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5" fillId="0" borderId="0"/>
    <xf numFmtId="0" fontId="6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/>
    <xf numFmtId="0" fontId="4" fillId="2" borderId="0" xfId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</cellXfs>
  <cellStyles count="4">
    <cellStyle name="Hyperlink 2" xfId="3" xr:uid="{D116B123-67C6-344C-8E97-773FA34E970D}"/>
    <cellStyle name="Normal" xfId="0" builtinId="0"/>
    <cellStyle name="Normal 2" xfId="1" xr:uid="{A1221B63-1151-9945-AD17-D34A8F7994D7}"/>
    <cellStyle name="Normal 2 2" xfId="2" xr:uid="{6371BA46-78D2-CF43-B416-26A12EFA2F80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#&quot; Days&quot;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22577A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80ED99"/>
      <color rgb="FF22577A"/>
      <color rgb="FF073673"/>
      <color rgb="FFC7F9CC"/>
      <color rgb="FFC0E6F5"/>
      <color rgb="FF57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200" b="0">
                <a:solidFill>
                  <a:schemeClr val="bg1"/>
                </a:solidFill>
              </a:rPr>
              <a:t>#</a:t>
            </a:r>
            <a:r>
              <a:rPr lang="en-US" sz="1200" b="0" baseline="0">
                <a:solidFill>
                  <a:schemeClr val="bg1"/>
                </a:solidFill>
              </a:rPr>
              <a:t> of Tasks by Owner</a:t>
            </a:r>
            <a:endParaRPr lang="en-US" sz="1200" b="0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'Support Sheet'!$F$2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80ED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'Support Sheet'!$E$3:$E$7</c:f>
              <c:strCache>
                <c:ptCount val="5"/>
                <c:pt idx="0">
                  <c:v>Sarah Johnson</c:v>
                </c:pt>
                <c:pt idx="1">
                  <c:v>David Kim</c:v>
                </c:pt>
                <c:pt idx="2">
                  <c:v>James Miller</c:v>
                </c:pt>
                <c:pt idx="3">
                  <c:v>Alex Chen</c:v>
                </c:pt>
                <c:pt idx="4">
                  <c:v>Emily Davis</c:v>
                </c:pt>
              </c:strCache>
            </c:strRef>
          </c:cat>
          <c:val>
            <c:numRef>
              <c:f>'Support Sheet'!$F$3:$F$7</c:f>
              <c:numCache>
                <c:formatCode>General</c:formatCode>
                <c:ptCount val="5"/>
                <c:pt idx="0">
                  <c:v>6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D0-4F4E-914B-E6EA4A7D2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707364496"/>
        <c:axId val="707364856"/>
      </c:barChart>
      <c:catAx>
        <c:axId val="707364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364856"/>
        <c:crosses val="autoZero"/>
        <c:auto val="1"/>
        <c:lblAlgn val="ctr"/>
        <c:lblOffset val="100"/>
        <c:noMultiLvlLbl val="0"/>
      </c:catAx>
      <c:valAx>
        <c:axId val="7073648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07364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200" b="0">
                <a:solidFill>
                  <a:schemeClr val="bg1"/>
                </a:solidFill>
              </a:rPr>
              <a:t>#</a:t>
            </a:r>
            <a:r>
              <a:rPr lang="en-US" sz="1200" b="0" baseline="0">
                <a:solidFill>
                  <a:schemeClr val="bg1"/>
                </a:solidFill>
              </a:rPr>
              <a:t> Tasks by Team</a:t>
            </a:r>
            <a:endParaRPr lang="en-US" sz="1200" b="0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38796955093523056"/>
          <c:y val="8.83534695338643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16163854966322"/>
          <c:y val="0.31231148993548369"/>
          <c:w val="0.72535331075001463"/>
          <c:h val="0.5993350405306521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'Support Sheet'!$I$2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80ED99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411-427C-A4F9-522AA3A2ECE7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411-427C-A4F9-522AA3A2ECE7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411-427C-A4F9-522AA3A2ECE7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411-427C-A4F9-522AA3A2EC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'Support Sheet'!$H$3:$H$6</c:f>
              <c:strCache>
                <c:ptCount val="4"/>
                <c:pt idx="0">
                  <c:v>Finance</c:v>
                </c:pt>
                <c:pt idx="1">
                  <c:v>Strategy</c:v>
                </c:pt>
                <c:pt idx="2">
                  <c:v>HR</c:v>
                </c:pt>
                <c:pt idx="3">
                  <c:v>Marketing</c:v>
                </c:pt>
              </c:strCache>
            </c:strRef>
          </c:cat>
          <c:val>
            <c:numRef>
              <c:f>'Support Sheet'!$I$3:$I$6</c:f>
              <c:numCache>
                <c:formatCode>General</c:formatCode>
                <c:ptCount val="4"/>
                <c:pt idx="0">
                  <c:v>4</c:v>
                </c:pt>
                <c:pt idx="1">
                  <c:v>6</c:v>
                </c:pt>
                <c:pt idx="2">
                  <c:v>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411-427C-A4F9-522AA3A2E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709568488"/>
        <c:axId val="709565248"/>
      </c:barChart>
      <c:catAx>
        <c:axId val="709568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565248"/>
        <c:crosses val="autoZero"/>
        <c:auto val="1"/>
        <c:lblAlgn val="ctr"/>
        <c:lblOffset val="100"/>
        <c:noMultiLvlLbl val="0"/>
      </c:catAx>
      <c:valAx>
        <c:axId val="7095652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09568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114301</xdr:colOff>
      <xdr:row>0</xdr:row>
      <xdr:rowOff>114300</xdr:rowOff>
    </xdr:from>
    <xdr:to>
      <xdr:col>10</xdr:col>
      <xdr:colOff>2895601</xdr:colOff>
      <xdr:row>3</xdr:row>
      <xdr:rowOff>9525</xdr:rowOff>
    </xdr:to>
    <xdr:sp macro="" textlink="">
      <xdr:nvSpPr>
        <xdr:cNvPr id="3" name="Rounded Rectangle 14">
          <a:extLst>
            <a:ext uri="{FF2B5EF4-FFF2-40B4-BE49-F238E27FC236}">
              <a16:creationId xmlns:a16="http://schemas.microsoft.com/office/drawing/2014/main" id="{9CC083B6-F015-43D7-9C0B-018583135AD1}"/>
            </a:ext>
          </a:extLst>
        </xdr:cNvPr>
        <xdr:cNvSpPr/>
      </xdr:nvSpPr>
      <xdr:spPr>
        <a:xfrm>
          <a:off x="381001" y="114300"/>
          <a:ext cx="12039600" cy="600075"/>
        </a:xfrm>
        <a:prstGeom prst="roundRect">
          <a:avLst>
            <a:gd name="adj" fmla="val 10985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2800">
              <a:solidFill>
                <a:schemeClr val="lt1"/>
              </a:solidFill>
              <a:latin typeface="+mn-lt"/>
              <a:ea typeface="+mn-ea"/>
              <a:cs typeface="+mn-cs"/>
            </a:rPr>
            <a:t>Task</a:t>
          </a:r>
          <a:r>
            <a:rPr lang="en-US" sz="2800" baseline="0">
              <a:solidFill>
                <a:schemeClr val="lt1"/>
              </a:solidFill>
              <a:latin typeface="+mn-lt"/>
              <a:ea typeface="+mn-ea"/>
              <a:cs typeface="+mn-cs"/>
            </a:rPr>
            <a:t> Management Tracker</a:t>
          </a:r>
          <a:endParaRPr lang="en-US" sz="28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175262</xdr:colOff>
      <xdr:row>3</xdr:row>
      <xdr:rowOff>180975</xdr:rowOff>
    </xdr:from>
    <xdr:to>
      <xdr:col>2</xdr:col>
      <xdr:colOff>647701</xdr:colOff>
      <xdr:row>7</xdr:row>
      <xdr:rowOff>85725</xdr:rowOff>
    </xdr:to>
    <xdr:sp macro="" textlink="">
      <xdr:nvSpPr>
        <xdr:cNvPr id="4" name="Rounded Rectangle 14">
          <a:extLst>
            <a:ext uri="{FF2B5EF4-FFF2-40B4-BE49-F238E27FC236}">
              <a16:creationId xmlns:a16="http://schemas.microsoft.com/office/drawing/2014/main" id="{9BCCE7B1-14DB-EAF5-DBDF-B229AD8C92B4}"/>
            </a:ext>
          </a:extLst>
        </xdr:cNvPr>
        <xdr:cNvSpPr/>
      </xdr:nvSpPr>
      <xdr:spPr>
        <a:xfrm>
          <a:off x="441962" y="885825"/>
          <a:ext cx="1110614" cy="704850"/>
        </a:xfrm>
        <a:prstGeom prst="roundRect">
          <a:avLst>
            <a:gd name="adj" fmla="val 10985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r"/>
          <a:endParaRPr lang="en-US" sz="28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895350</xdr:colOff>
      <xdr:row>4</xdr:row>
      <xdr:rowOff>9524</xdr:rowOff>
    </xdr:from>
    <xdr:to>
      <xdr:col>10</xdr:col>
      <xdr:colOff>2867025</xdr:colOff>
      <xdr:row>11</xdr:row>
      <xdr:rowOff>200024</xdr:rowOff>
    </xdr:to>
    <xdr:sp macro="" textlink="">
      <xdr:nvSpPr>
        <xdr:cNvPr id="8" name="Rounded Rectangle 14">
          <a:extLst>
            <a:ext uri="{FF2B5EF4-FFF2-40B4-BE49-F238E27FC236}">
              <a16:creationId xmlns:a16="http://schemas.microsoft.com/office/drawing/2014/main" id="{E2048443-D997-40C8-AFC9-45E479409EED}"/>
            </a:ext>
          </a:extLst>
        </xdr:cNvPr>
        <xdr:cNvSpPr/>
      </xdr:nvSpPr>
      <xdr:spPr>
        <a:xfrm>
          <a:off x="10420350" y="914399"/>
          <a:ext cx="1971675" cy="1590675"/>
        </a:xfrm>
        <a:prstGeom prst="roundRect">
          <a:avLst>
            <a:gd name="adj" fmla="val 10985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2095499</xdr:colOff>
      <xdr:row>3</xdr:row>
      <xdr:rowOff>200024</xdr:rowOff>
    </xdr:from>
    <xdr:to>
      <xdr:col>6</xdr:col>
      <xdr:colOff>657224</xdr:colOff>
      <xdr:row>11</xdr:row>
      <xdr:rowOff>190500</xdr:rowOff>
    </xdr:to>
    <xdr:sp macro="" textlink="">
      <xdr:nvSpPr>
        <xdr:cNvPr id="10" name="Rounded Rectangle 14">
          <a:extLst>
            <a:ext uri="{FF2B5EF4-FFF2-40B4-BE49-F238E27FC236}">
              <a16:creationId xmlns:a16="http://schemas.microsoft.com/office/drawing/2014/main" id="{FD444AE8-78C3-411F-9D5E-7243DF1F5E24}"/>
            </a:ext>
          </a:extLst>
        </xdr:cNvPr>
        <xdr:cNvSpPr/>
      </xdr:nvSpPr>
      <xdr:spPr>
        <a:xfrm>
          <a:off x="3000374" y="904874"/>
          <a:ext cx="3533775" cy="1590676"/>
        </a:xfrm>
        <a:prstGeom prst="roundRect">
          <a:avLst>
            <a:gd name="adj" fmla="val 10985"/>
          </a:avLst>
        </a:prstGeom>
        <a:gradFill>
          <a:gsLst>
            <a:gs pos="100000">
              <a:srgbClr val="0070C0"/>
            </a:gs>
            <a:gs pos="100000">
              <a:schemeClr val="accent4">
                <a:lumMod val="50000"/>
              </a:schemeClr>
            </a:gs>
            <a:gs pos="99000">
              <a:schemeClr val="tx2">
                <a:lumMod val="90000"/>
                <a:lumOff val="10000"/>
              </a:schemeClr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790575</xdr:colOff>
      <xdr:row>8</xdr:row>
      <xdr:rowOff>38100</xdr:rowOff>
    </xdr:from>
    <xdr:to>
      <xdr:col>2</xdr:col>
      <xdr:colOff>1901189</xdr:colOff>
      <xdr:row>11</xdr:row>
      <xdr:rowOff>142875</xdr:rowOff>
    </xdr:to>
    <xdr:sp macro="" textlink="">
      <xdr:nvSpPr>
        <xdr:cNvPr id="11" name="Rounded Rectangle 14">
          <a:extLst>
            <a:ext uri="{FF2B5EF4-FFF2-40B4-BE49-F238E27FC236}">
              <a16:creationId xmlns:a16="http://schemas.microsoft.com/office/drawing/2014/main" id="{AF21F7FD-A7C7-497E-89A1-5F77B7980EAC}"/>
            </a:ext>
          </a:extLst>
        </xdr:cNvPr>
        <xdr:cNvSpPr/>
      </xdr:nvSpPr>
      <xdr:spPr>
        <a:xfrm>
          <a:off x="1695450" y="1743075"/>
          <a:ext cx="1110614" cy="704850"/>
        </a:xfrm>
        <a:prstGeom prst="roundRect">
          <a:avLst>
            <a:gd name="adj" fmla="val 10985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r"/>
          <a:endParaRPr lang="en-US" sz="28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180975</xdr:colOff>
      <xdr:row>8</xdr:row>
      <xdr:rowOff>38100</xdr:rowOff>
    </xdr:from>
    <xdr:to>
      <xdr:col>2</xdr:col>
      <xdr:colOff>653414</xdr:colOff>
      <xdr:row>11</xdr:row>
      <xdr:rowOff>142875</xdr:rowOff>
    </xdr:to>
    <xdr:sp macro="" textlink="">
      <xdr:nvSpPr>
        <xdr:cNvPr id="12" name="Rounded Rectangle 14">
          <a:extLst>
            <a:ext uri="{FF2B5EF4-FFF2-40B4-BE49-F238E27FC236}">
              <a16:creationId xmlns:a16="http://schemas.microsoft.com/office/drawing/2014/main" id="{061EBAC7-B97E-450D-A446-5C4D19CFF3C6}"/>
            </a:ext>
          </a:extLst>
        </xdr:cNvPr>
        <xdr:cNvSpPr/>
      </xdr:nvSpPr>
      <xdr:spPr>
        <a:xfrm>
          <a:off x="447675" y="1743075"/>
          <a:ext cx="1110614" cy="704850"/>
        </a:xfrm>
        <a:prstGeom prst="roundRect">
          <a:avLst>
            <a:gd name="adj" fmla="val 10985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r"/>
          <a:endParaRPr lang="en-US" sz="28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771525</xdr:colOff>
      <xdr:row>3</xdr:row>
      <xdr:rowOff>190500</xdr:rowOff>
    </xdr:from>
    <xdr:to>
      <xdr:col>2</xdr:col>
      <xdr:colOff>1882139</xdr:colOff>
      <xdr:row>7</xdr:row>
      <xdr:rowOff>95250</xdr:rowOff>
    </xdr:to>
    <xdr:sp macro="" textlink="">
      <xdr:nvSpPr>
        <xdr:cNvPr id="13" name="Rounded Rectangle 14">
          <a:extLst>
            <a:ext uri="{FF2B5EF4-FFF2-40B4-BE49-F238E27FC236}">
              <a16:creationId xmlns:a16="http://schemas.microsoft.com/office/drawing/2014/main" id="{9501F219-049E-4233-9EB1-B7537064B810}"/>
            </a:ext>
          </a:extLst>
        </xdr:cNvPr>
        <xdr:cNvSpPr/>
      </xdr:nvSpPr>
      <xdr:spPr>
        <a:xfrm>
          <a:off x="1676400" y="895350"/>
          <a:ext cx="1110614" cy="704850"/>
        </a:xfrm>
        <a:prstGeom prst="roundRect">
          <a:avLst>
            <a:gd name="adj" fmla="val 10985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r"/>
          <a:endParaRPr lang="en-US" sz="28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819150</xdr:colOff>
      <xdr:row>4</xdr:row>
      <xdr:rowOff>19050</xdr:rowOff>
    </xdr:from>
    <xdr:to>
      <xdr:col>10</xdr:col>
      <xdr:colOff>704850</xdr:colOff>
      <xdr:row>12</xdr:row>
      <xdr:rowOff>9525</xdr:rowOff>
    </xdr:to>
    <xdr:sp macro="" textlink="">
      <xdr:nvSpPr>
        <xdr:cNvPr id="14" name="Rounded Rectangle 14">
          <a:extLst>
            <a:ext uri="{FF2B5EF4-FFF2-40B4-BE49-F238E27FC236}">
              <a16:creationId xmlns:a16="http://schemas.microsoft.com/office/drawing/2014/main" id="{B03E20C5-5943-4F89-AE35-0E31D7454CAC}"/>
            </a:ext>
          </a:extLst>
        </xdr:cNvPr>
        <xdr:cNvSpPr/>
      </xdr:nvSpPr>
      <xdr:spPr>
        <a:xfrm>
          <a:off x="6696075" y="923925"/>
          <a:ext cx="3533775" cy="1590675"/>
        </a:xfrm>
        <a:prstGeom prst="roundRect">
          <a:avLst>
            <a:gd name="adj" fmla="val 10985"/>
          </a:avLst>
        </a:prstGeom>
        <a:gradFill>
          <a:gsLst>
            <a:gs pos="100000">
              <a:srgbClr val="0070C0"/>
            </a:gs>
            <a:gs pos="100000">
              <a:schemeClr val="accent4">
                <a:lumMod val="50000"/>
              </a:schemeClr>
            </a:gs>
            <a:gs pos="99000">
              <a:schemeClr val="tx2">
                <a:lumMod val="90000"/>
                <a:lumOff val="10000"/>
              </a:schemeClr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295275</xdr:colOff>
      <xdr:row>3</xdr:row>
      <xdr:rowOff>180975</xdr:rowOff>
    </xdr:from>
    <xdr:to>
      <xdr:col>2</xdr:col>
      <xdr:colOff>600075</xdr:colOff>
      <xdr:row>5</xdr:row>
      <xdr:rowOff>57150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8B28FB9-F0C5-F606-F742-29F8DFAA1D5E}"/>
            </a:ext>
          </a:extLst>
        </xdr:cNvPr>
        <xdr:cNvSpPr txBox="1"/>
      </xdr:nvSpPr>
      <xdr:spPr>
        <a:xfrm>
          <a:off x="561975" y="885825"/>
          <a:ext cx="942975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Completed</a:t>
          </a:r>
        </a:p>
      </xdr:txBody>
    </xdr:sp>
    <xdr:clientData/>
  </xdr:twoCellAnchor>
  <xdr:twoCellAnchor>
    <xdr:from>
      <xdr:col>1</xdr:col>
      <xdr:colOff>571500</xdr:colOff>
      <xdr:row>4</xdr:row>
      <xdr:rowOff>142875</xdr:rowOff>
    </xdr:from>
    <xdr:to>
      <xdr:col>2</xdr:col>
      <xdr:colOff>352425</xdr:colOff>
      <xdr:row>7</xdr:row>
      <xdr:rowOff>85725</xdr:rowOff>
    </xdr:to>
    <xdr:sp macro="" textlink="'Support Sheet'!C3">
      <xdr:nvSpPr>
        <xdr:cNvPr id="17" name="TextBox 16">
          <a:extLst>
            <a:ext uri="{FF2B5EF4-FFF2-40B4-BE49-F238E27FC236}">
              <a16:creationId xmlns:a16="http://schemas.microsoft.com/office/drawing/2014/main" id="{8FE32C77-925C-C666-D3D6-17203B6A5877}"/>
            </a:ext>
          </a:extLst>
        </xdr:cNvPr>
        <xdr:cNvSpPr txBox="1"/>
      </xdr:nvSpPr>
      <xdr:spPr>
        <a:xfrm>
          <a:off x="838200" y="1047750"/>
          <a:ext cx="419100" cy="542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C9C1F504-CEB6-4662-AAAB-9F51CE3A670A}" type="TxLink">
            <a:rPr lang="en-US" sz="32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/>
            <a:t>7</a:t>
          </a:fld>
          <a:endParaRPr lang="en-US" sz="32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885826</xdr:colOff>
      <xdr:row>4</xdr:row>
      <xdr:rowOff>0</xdr:rowOff>
    </xdr:from>
    <xdr:to>
      <xdr:col>2</xdr:col>
      <xdr:colOff>1819276</xdr:colOff>
      <xdr:row>5</xdr:row>
      <xdr:rowOff>38100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4955582-15E1-7261-A782-76A7166B92E7}"/>
            </a:ext>
          </a:extLst>
        </xdr:cNvPr>
        <xdr:cNvSpPr txBox="1"/>
      </xdr:nvSpPr>
      <xdr:spPr>
        <a:xfrm>
          <a:off x="1790701" y="904875"/>
          <a:ext cx="933450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bg1"/>
              </a:solidFill>
            </a:rPr>
            <a:t>Not Started</a:t>
          </a:r>
        </a:p>
      </xdr:txBody>
    </xdr:sp>
    <xdr:clientData/>
  </xdr:twoCellAnchor>
  <xdr:twoCellAnchor>
    <xdr:from>
      <xdr:col>2</xdr:col>
      <xdr:colOff>1143000</xdr:colOff>
      <xdr:row>4</xdr:row>
      <xdr:rowOff>152400</xdr:rowOff>
    </xdr:from>
    <xdr:to>
      <xdr:col>2</xdr:col>
      <xdr:colOff>1685925</xdr:colOff>
      <xdr:row>7</xdr:row>
      <xdr:rowOff>28575</xdr:rowOff>
    </xdr:to>
    <xdr:sp macro="" textlink="'Support Sheet'!C5">
      <xdr:nvSpPr>
        <xdr:cNvPr id="23" name="TextBox 22">
          <a:extLst>
            <a:ext uri="{FF2B5EF4-FFF2-40B4-BE49-F238E27FC236}">
              <a16:creationId xmlns:a16="http://schemas.microsoft.com/office/drawing/2014/main" id="{C5D57396-C8D9-2093-8FB2-DEC8008A8EB8}"/>
            </a:ext>
          </a:extLst>
        </xdr:cNvPr>
        <xdr:cNvSpPr txBox="1"/>
      </xdr:nvSpPr>
      <xdr:spPr>
        <a:xfrm>
          <a:off x="2047875" y="1057275"/>
          <a:ext cx="542925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FAE8223-6DB7-4412-8DB6-43E03A17CBE6}" type="TxLink">
            <a:rPr lang="en-US" sz="3200" b="1" i="0" u="none" strike="noStrike">
              <a:solidFill>
                <a:schemeClr val="bg1"/>
              </a:solidFill>
              <a:latin typeface="Aptos Narrow"/>
            </a:rPr>
            <a:pPr/>
            <a:t>2</a:t>
          </a:fld>
          <a:endParaRPr lang="en-US" sz="32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323850</xdr:colOff>
      <xdr:row>8</xdr:row>
      <xdr:rowOff>57149</xdr:rowOff>
    </xdr:from>
    <xdr:to>
      <xdr:col>2</xdr:col>
      <xdr:colOff>571500</xdr:colOff>
      <xdr:row>9</xdr:row>
      <xdr:rowOff>95249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1FC0D575-01C4-C036-9CDB-8AB04381ED8C}"/>
            </a:ext>
          </a:extLst>
        </xdr:cNvPr>
        <xdr:cNvSpPr txBox="1"/>
      </xdr:nvSpPr>
      <xdr:spPr>
        <a:xfrm>
          <a:off x="590550" y="1762124"/>
          <a:ext cx="8858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bg1"/>
              </a:solidFill>
            </a:rPr>
            <a:t>In</a:t>
          </a:r>
          <a:r>
            <a:rPr lang="en-US" sz="1200" b="1" baseline="0">
              <a:solidFill>
                <a:schemeClr val="bg1"/>
              </a:solidFill>
            </a:rPr>
            <a:t> Progress</a:t>
          </a:r>
          <a:endParaRPr lang="en-U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571500</xdr:colOff>
      <xdr:row>8</xdr:row>
      <xdr:rowOff>200024</xdr:rowOff>
    </xdr:from>
    <xdr:to>
      <xdr:col>2</xdr:col>
      <xdr:colOff>638175</xdr:colOff>
      <xdr:row>11</xdr:row>
      <xdr:rowOff>66674</xdr:rowOff>
    </xdr:to>
    <xdr:sp macro="" textlink="'Support Sheet'!C4">
      <xdr:nvSpPr>
        <xdr:cNvPr id="25" name="TextBox 24">
          <a:extLst>
            <a:ext uri="{FF2B5EF4-FFF2-40B4-BE49-F238E27FC236}">
              <a16:creationId xmlns:a16="http://schemas.microsoft.com/office/drawing/2014/main" id="{AEC26B93-AB98-20DB-7C1A-A6811396532F}"/>
            </a:ext>
          </a:extLst>
        </xdr:cNvPr>
        <xdr:cNvSpPr txBox="1"/>
      </xdr:nvSpPr>
      <xdr:spPr>
        <a:xfrm>
          <a:off x="838200" y="1904999"/>
          <a:ext cx="704850" cy="46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FCAE765-0F6C-4630-9228-0F2BD658132D}" type="TxLink">
            <a:rPr lang="en-US" sz="3200" b="1" i="0" u="none" strike="noStrike">
              <a:solidFill>
                <a:schemeClr val="bg1"/>
              </a:solidFill>
              <a:latin typeface="Aptos Narrow"/>
            </a:rPr>
            <a:pPr/>
            <a:t>6</a:t>
          </a:fld>
          <a:endParaRPr lang="en-US" sz="28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923924</xdr:colOff>
      <xdr:row>8</xdr:row>
      <xdr:rowOff>57149</xdr:rowOff>
    </xdr:from>
    <xdr:to>
      <xdr:col>2</xdr:col>
      <xdr:colOff>1895475</xdr:colOff>
      <xdr:row>9</xdr:row>
      <xdr:rowOff>133350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6BAA8D2-4BF7-01B3-1DE6-C13B8B7EEEF4}"/>
            </a:ext>
          </a:extLst>
        </xdr:cNvPr>
        <xdr:cNvSpPr txBox="1"/>
      </xdr:nvSpPr>
      <xdr:spPr>
        <a:xfrm>
          <a:off x="1828799" y="1762124"/>
          <a:ext cx="971551" cy="2762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bg1"/>
              </a:solidFill>
            </a:rPr>
            <a:t>Total Tasks</a:t>
          </a:r>
        </a:p>
      </xdr:txBody>
    </xdr:sp>
    <xdr:clientData/>
  </xdr:twoCellAnchor>
  <xdr:twoCellAnchor>
    <xdr:from>
      <xdr:col>2</xdr:col>
      <xdr:colOff>1057275</xdr:colOff>
      <xdr:row>8</xdr:row>
      <xdr:rowOff>190500</xdr:rowOff>
    </xdr:from>
    <xdr:to>
      <xdr:col>2</xdr:col>
      <xdr:colOff>1857375</xdr:colOff>
      <xdr:row>11</xdr:row>
      <xdr:rowOff>85725</xdr:rowOff>
    </xdr:to>
    <xdr:sp macro="" textlink="'Support Sheet'!C6">
      <xdr:nvSpPr>
        <xdr:cNvPr id="27" name="TextBox 26">
          <a:extLst>
            <a:ext uri="{FF2B5EF4-FFF2-40B4-BE49-F238E27FC236}">
              <a16:creationId xmlns:a16="http://schemas.microsoft.com/office/drawing/2014/main" id="{ECE459DE-A524-87AA-4CB7-7B5BD0FD0287}"/>
            </a:ext>
          </a:extLst>
        </xdr:cNvPr>
        <xdr:cNvSpPr txBox="1"/>
      </xdr:nvSpPr>
      <xdr:spPr>
        <a:xfrm>
          <a:off x="1962150" y="1895475"/>
          <a:ext cx="800100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08DE739-0637-4FD2-9337-4F9B9F3BC199}" type="TxLink">
            <a:rPr lang="en-US" sz="3200" b="1" i="0" u="none" strike="noStrike">
              <a:solidFill>
                <a:schemeClr val="bg1"/>
              </a:solidFill>
              <a:latin typeface="Aptos Narrow"/>
            </a:rPr>
            <a:pPr/>
            <a:t>15</a:t>
          </a:fld>
          <a:endParaRPr lang="en-US" sz="28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2171700</xdr:colOff>
      <xdr:row>3</xdr:row>
      <xdr:rowOff>152399</xdr:rowOff>
    </xdr:from>
    <xdr:to>
      <xdr:col>7</xdr:col>
      <xdr:colOff>38100</xdr:colOff>
      <xdr:row>12</xdr:row>
      <xdr:rowOff>47625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CD3F72D6-082C-4558-B922-F8E26243E9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409576</xdr:colOff>
      <xdr:row>3</xdr:row>
      <xdr:rowOff>142874</xdr:rowOff>
    </xdr:from>
    <xdr:to>
      <xdr:col>10</xdr:col>
      <xdr:colOff>952500</xdr:colOff>
      <xdr:row>11</xdr:row>
      <xdr:rowOff>123823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B1009B44-79C4-490A-AA34-1851B54A1B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1581149</xdr:colOff>
      <xdr:row>5</xdr:row>
      <xdr:rowOff>47625</xdr:rowOff>
    </xdr:from>
    <xdr:to>
      <xdr:col>10</xdr:col>
      <xdr:colOff>2314575</xdr:colOff>
      <xdr:row>11</xdr:row>
      <xdr:rowOff>66675</xdr:rowOff>
    </xdr:to>
    <xdr:sp macro="" textlink="'Support Sheet'!K3">
      <xdr:nvSpPr>
        <xdr:cNvPr id="2" name="TextBox 1">
          <a:extLst>
            <a:ext uri="{FF2B5EF4-FFF2-40B4-BE49-F238E27FC236}">
              <a16:creationId xmlns:a16="http://schemas.microsoft.com/office/drawing/2014/main" id="{98D73276-F178-3391-1E18-3C323CCFCBFA}"/>
            </a:ext>
          </a:extLst>
        </xdr:cNvPr>
        <xdr:cNvSpPr txBox="1"/>
      </xdr:nvSpPr>
      <xdr:spPr>
        <a:xfrm>
          <a:off x="11106149" y="1152525"/>
          <a:ext cx="733426" cy="1219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DBEF35E-E685-4AE0-A034-45E71A2AEC5A}" type="TxLink">
            <a:rPr lang="en-US" sz="8000" b="1" i="0" u="none" strike="noStrike">
              <a:solidFill>
                <a:schemeClr val="bg1"/>
              </a:solidFill>
              <a:latin typeface="Aptos Narrow"/>
            </a:rPr>
            <a:t>2</a:t>
          </a:fld>
          <a:endParaRPr lang="en-US" sz="7200" b="1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1304925</xdr:colOff>
      <xdr:row>4</xdr:row>
      <xdr:rowOff>114300</xdr:rowOff>
    </xdr:from>
    <xdr:to>
      <xdr:col>10</xdr:col>
      <xdr:colOff>2657475</xdr:colOff>
      <xdr:row>6</xdr:row>
      <xdr:rowOff>133350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54CD8B3-E1D0-EA46-26F2-DB1C58588AD0}"/>
            </a:ext>
          </a:extLst>
        </xdr:cNvPr>
        <xdr:cNvSpPr txBox="1"/>
      </xdr:nvSpPr>
      <xdr:spPr>
        <a:xfrm>
          <a:off x="10829925" y="1019175"/>
          <a:ext cx="1352550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500">
              <a:solidFill>
                <a:schemeClr val="bg1"/>
              </a:solidFill>
            </a:rPr>
            <a:t>Overdue Tasks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209322</xdr:colOff>
      <xdr:row>8</xdr:row>
      <xdr:rowOff>129383</xdr:rowOff>
    </xdr:from>
    <xdr:to>
      <xdr:col>2</xdr:col>
      <xdr:colOff>233877</xdr:colOff>
      <xdr:row>14</xdr:row>
      <xdr:rowOff>19213</xdr:rowOff>
    </xdr:to>
    <xdr:sp macro="" textlink="">
      <xdr:nvSpPr>
        <xdr:cNvPr id="2" name="Rounded Rectangle 14">
          <a:extLst>
            <a:ext uri="{FF2B5EF4-FFF2-40B4-BE49-F238E27FC236}">
              <a16:creationId xmlns:a16="http://schemas.microsoft.com/office/drawing/2014/main" id="{78628937-96A6-4518-9990-3AB49B686A31}"/>
            </a:ext>
          </a:extLst>
        </xdr:cNvPr>
        <xdr:cNvSpPr/>
      </xdr:nvSpPr>
      <xdr:spPr>
        <a:xfrm>
          <a:off x="209322" y="1719644"/>
          <a:ext cx="1126142" cy="1082526"/>
        </a:xfrm>
        <a:prstGeom prst="roundRect">
          <a:avLst/>
        </a:prstGeom>
        <a:gradFill>
          <a:gsLst>
            <a:gs pos="100000">
              <a:srgbClr val="0070C0"/>
            </a:gs>
            <a:gs pos="100000">
              <a:schemeClr val="accent4">
                <a:lumMod val="50000"/>
              </a:schemeClr>
            </a:gs>
            <a:gs pos="99000">
              <a:schemeClr val="tx2">
                <a:lumMod val="90000"/>
                <a:lumOff val="10000"/>
              </a:schemeClr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6EAA6C-DAA3-4FC4-8307-0322C1A9DCEB}" name="Table13" displayName="Table13" ref="B14:K29" totalsRowShown="0" headerRowDxfId="10" headerRowCellStyle="Normal 2">
  <autoFilter ref="B14:K29" xr:uid="{D70C6425-5245-42DA-A688-0C24D0F299EE}"/>
  <tableColumns count="10">
    <tableColumn id="1" xr3:uid="{51A0685D-BE0A-4655-8D19-62FF7F9E3E49}" name="Task ID" dataDxfId="9"/>
    <tableColumn id="2" xr3:uid="{24EB6B71-689B-4CE8-BB25-3F6E0E39D9E9}" name="Task Name"/>
    <tableColumn id="3" xr3:uid="{0AF265DE-C196-4055-A036-8F5BADDDB849}" name="Team"/>
    <tableColumn id="4" xr3:uid="{8ED15A49-0085-41E9-8C4E-6AA7EAA1DE7B}" name="Task Owner"/>
    <tableColumn id="5" xr3:uid="{F1B0F558-2504-4F33-BB79-DAE7BFA57A9B}" name="Start Date" dataDxfId="8"/>
    <tableColumn id="6" xr3:uid="{6C23AB90-D59C-418D-959D-CB935E2E34BB}" name="Due Date" dataDxfId="7"/>
    <tableColumn id="7" xr3:uid="{64042E10-C220-4BAC-AC28-AFB85556EEC7}" name="Task Duration" dataDxfId="6">
      <calculatedColumnFormula>Table13[[#This Row],[Due Date]]-Table13[[#This Row],[Start Date]]</calculatedColumnFormula>
    </tableColumn>
    <tableColumn id="8" xr3:uid="{250FB280-7C91-4649-8B56-4B2485769B54}" name="Status" dataDxfId="5"/>
    <tableColumn id="9" xr3:uid="{08107EAA-799F-4181-AB0D-1AB7632956FD}" name="Overdue?" dataDxfId="4">
      <calculatedColumnFormula>AND(Table13[[#This Row],[Status]]&lt;&gt;"Completed",Table13[[#This Row],[Due Date]]&lt;TODAY())</calculatedColumnFormula>
    </tableColumn>
    <tableColumn id="10" xr3:uid="{742892DE-914D-49D5-8FD6-F68BC08D7066}" name="Comments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73292-AC30-4031-9B49-56A7D50D47CB}">
  <dimension ref="B1:K47"/>
  <sheetViews>
    <sheetView showGridLines="0" tabSelected="1" zoomScaleNormal="100" workbookViewId="0">
      <pane ySplit="13" topLeftCell="A14" activePane="bottomLeft" state="frozen"/>
      <selection pane="bottomLeft" activeCell="E17" sqref="E17"/>
    </sheetView>
  </sheetViews>
  <sheetFormatPr defaultColWidth="11.125" defaultRowHeight="15.75" x14ac:dyDescent="0.25"/>
  <cols>
    <col min="1" max="1" width="3.5" customWidth="1"/>
    <col min="2" max="2" width="8.375" style="1" customWidth="1"/>
    <col min="3" max="3" width="28.875" customWidth="1"/>
    <col min="5" max="5" width="14.125" bestFit="1" customWidth="1"/>
    <col min="8" max="8" width="13.5" customWidth="1"/>
    <col min="9" max="9" width="12.125" style="1" customWidth="1"/>
    <col min="11" max="11" width="38.125" customWidth="1"/>
  </cols>
  <sheetData>
    <row r="1" spans="2:11" ht="24" customHeight="1" x14ac:dyDescent="0.25"/>
    <row r="14" spans="2:11" x14ac:dyDescent="0.25">
      <c r="B14" s="4" t="s">
        <v>1</v>
      </c>
      <c r="C14" s="4" t="s">
        <v>0</v>
      </c>
      <c r="D14" s="4" t="s">
        <v>69</v>
      </c>
      <c r="E14" s="4" t="s">
        <v>6</v>
      </c>
      <c r="F14" s="4" t="s">
        <v>2</v>
      </c>
      <c r="G14" s="4" t="s">
        <v>3</v>
      </c>
      <c r="H14" s="4" t="s">
        <v>11</v>
      </c>
      <c r="I14" s="4" t="s">
        <v>4</v>
      </c>
      <c r="J14" s="4" t="s">
        <v>5</v>
      </c>
      <c r="K14" s="4" t="s">
        <v>7</v>
      </c>
    </row>
    <row r="15" spans="2:11" x14ac:dyDescent="0.25">
      <c r="B15" s="1" t="s">
        <v>13</v>
      </c>
      <c r="C15" t="s">
        <v>14</v>
      </c>
      <c r="D15" t="s">
        <v>65</v>
      </c>
      <c r="E15" t="s">
        <v>15</v>
      </c>
      <c r="F15" s="2">
        <v>45902</v>
      </c>
      <c r="G15" s="2">
        <v>45920</v>
      </c>
      <c r="H15" s="6">
        <f>Table13[[#This Row],[Due Date]]-Table13[[#This Row],[Start Date]]</f>
        <v>18</v>
      </c>
      <c r="I15" s="1" t="s">
        <v>16</v>
      </c>
      <c r="J15" s="1" t="b">
        <f ca="1">AND(Table13[[#This Row],[Status]]&lt;&gt;"Completed",Table13[[#This Row],[Due Date]]&lt;TODAY())</f>
        <v>0</v>
      </c>
      <c r="K15" t="s">
        <v>17</v>
      </c>
    </row>
    <row r="16" spans="2:11" x14ac:dyDescent="0.25">
      <c r="B16" s="1" t="s">
        <v>18</v>
      </c>
      <c r="C16" t="s">
        <v>62</v>
      </c>
      <c r="D16" t="s">
        <v>57</v>
      </c>
      <c r="E16" t="s">
        <v>15</v>
      </c>
      <c r="F16" s="2">
        <v>45905</v>
      </c>
      <c r="G16" s="2">
        <v>45925</v>
      </c>
      <c r="H16" s="6">
        <f>Table13[[#This Row],[Due Date]]-Table13[[#This Row],[Start Date]]</f>
        <v>20</v>
      </c>
      <c r="I16" s="1" t="s">
        <v>16</v>
      </c>
      <c r="J16" s="1" t="b">
        <f ca="1">AND(Table13[[#This Row],[Status]]&lt;&gt;"Completed",Table13[[#This Row],[Due Date]]&lt;TODAY())</f>
        <v>0</v>
      </c>
      <c r="K16" t="s">
        <v>20</v>
      </c>
    </row>
    <row r="17" spans="2:11" x14ac:dyDescent="0.25">
      <c r="B17" s="1" t="s">
        <v>21</v>
      </c>
      <c r="C17" t="s">
        <v>22</v>
      </c>
      <c r="D17" t="s">
        <v>57</v>
      </c>
      <c r="E17" t="s">
        <v>19</v>
      </c>
      <c r="F17" s="2">
        <v>45848</v>
      </c>
      <c r="G17" s="2">
        <v>45874</v>
      </c>
      <c r="H17" s="6">
        <f>Table13[[#This Row],[Due Date]]-Table13[[#This Row],[Start Date]]</f>
        <v>26</v>
      </c>
      <c r="I17" s="1" t="s">
        <v>8</v>
      </c>
      <c r="J17" s="1" t="b">
        <f ca="1">AND(Table13[[#This Row],[Status]]&lt;&gt;"Completed",Table13[[#This Row],[Due Date]]&lt;TODAY())</f>
        <v>1</v>
      </c>
      <c r="K17" t="s">
        <v>23</v>
      </c>
    </row>
    <row r="18" spans="2:11" x14ac:dyDescent="0.25">
      <c r="B18" s="1" t="s">
        <v>24</v>
      </c>
      <c r="C18" t="s">
        <v>25</v>
      </c>
      <c r="D18" t="s">
        <v>65</v>
      </c>
      <c r="E18" t="s">
        <v>15</v>
      </c>
      <c r="F18" s="2">
        <v>45912</v>
      </c>
      <c r="G18" s="2">
        <v>45930</v>
      </c>
      <c r="H18" s="6">
        <f>Table13[[#This Row],[Due Date]]-Table13[[#This Row],[Start Date]]</f>
        <v>18</v>
      </c>
      <c r="I18" s="1" t="s">
        <v>16</v>
      </c>
      <c r="J18" s="1" t="b">
        <f ca="1">AND(Table13[[#This Row],[Status]]&lt;&gt;"Completed",Table13[[#This Row],[Due Date]]&lt;TODAY())</f>
        <v>0</v>
      </c>
      <c r="K18" t="s">
        <v>27</v>
      </c>
    </row>
    <row r="19" spans="2:11" x14ac:dyDescent="0.25">
      <c r="B19" s="1" t="s">
        <v>28</v>
      </c>
      <c r="C19" t="s">
        <v>29</v>
      </c>
      <c r="D19" t="s">
        <v>57</v>
      </c>
      <c r="E19" t="s">
        <v>26</v>
      </c>
      <c r="F19" s="2">
        <v>45915</v>
      </c>
      <c r="G19" s="2">
        <v>45940</v>
      </c>
      <c r="H19" s="6">
        <f>Table13[[#This Row],[Due Date]]-Table13[[#This Row],[Start Date]]</f>
        <v>25</v>
      </c>
      <c r="I19" s="1" t="s">
        <v>8</v>
      </c>
      <c r="J19" s="1" t="b">
        <f ca="1">AND(Table13[[#This Row],[Status]]&lt;&gt;"Completed",Table13[[#This Row],[Due Date]]&lt;TODAY())</f>
        <v>0</v>
      </c>
      <c r="K19" t="s">
        <v>31</v>
      </c>
    </row>
    <row r="20" spans="2:11" x14ac:dyDescent="0.25">
      <c r="B20" s="1" t="s">
        <v>32</v>
      </c>
      <c r="C20" t="s">
        <v>33</v>
      </c>
      <c r="D20" t="s">
        <v>66</v>
      </c>
      <c r="E20" t="s">
        <v>19</v>
      </c>
      <c r="F20" s="2">
        <v>45918</v>
      </c>
      <c r="G20" s="2">
        <v>45945</v>
      </c>
      <c r="H20" s="6">
        <f>Table13[[#This Row],[Due Date]]-Table13[[#This Row],[Start Date]]</f>
        <v>27</v>
      </c>
      <c r="I20" s="1" t="s">
        <v>8</v>
      </c>
      <c r="J20" s="1" t="b">
        <f ca="1">AND(Table13[[#This Row],[Status]]&lt;&gt;"Completed",Table13[[#This Row],[Due Date]]&lt;TODAY())</f>
        <v>0</v>
      </c>
      <c r="K20" t="s">
        <v>35</v>
      </c>
    </row>
    <row r="21" spans="2:11" x14ac:dyDescent="0.25">
      <c r="B21" s="1" t="s">
        <v>36</v>
      </c>
      <c r="C21" t="s">
        <v>63</v>
      </c>
      <c r="D21" t="s">
        <v>66</v>
      </c>
      <c r="E21" t="s">
        <v>30</v>
      </c>
      <c r="F21" s="2">
        <v>45889</v>
      </c>
      <c r="G21" s="2">
        <v>45896</v>
      </c>
      <c r="H21" s="6">
        <f>Table13[[#This Row],[Due Date]]-Table13[[#This Row],[Start Date]]</f>
        <v>7</v>
      </c>
      <c r="I21" s="1" t="s">
        <v>9</v>
      </c>
      <c r="J21" s="1" t="b">
        <f ca="1">AND(Table13[[#This Row],[Status]]&lt;&gt;"Completed",Table13[[#This Row],[Due Date]]&lt;TODAY())</f>
        <v>1</v>
      </c>
      <c r="K21" t="s">
        <v>37</v>
      </c>
    </row>
    <row r="22" spans="2:11" x14ac:dyDescent="0.25">
      <c r="B22" s="1" t="s">
        <v>38</v>
      </c>
      <c r="C22" t="s">
        <v>39</v>
      </c>
      <c r="D22" t="s">
        <v>40</v>
      </c>
      <c r="E22" t="s">
        <v>30</v>
      </c>
      <c r="F22" s="2">
        <v>45922</v>
      </c>
      <c r="G22" s="2">
        <v>45942</v>
      </c>
      <c r="H22" s="6">
        <f>Table13[[#This Row],[Due Date]]-Table13[[#This Row],[Start Date]]</f>
        <v>20</v>
      </c>
      <c r="I22" s="1" t="s">
        <v>8</v>
      </c>
      <c r="J22" s="1" t="b">
        <f ca="1">AND(Table13[[#This Row],[Status]]&lt;&gt;"Completed",Table13[[#This Row],[Due Date]]&lt;TODAY())</f>
        <v>0</v>
      </c>
      <c r="K22" t="s">
        <v>41</v>
      </c>
    </row>
    <row r="23" spans="2:11" x14ac:dyDescent="0.25">
      <c r="B23" s="1" t="s">
        <v>42</v>
      </c>
      <c r="C23" t="s">
        <v>43</v>
      </c>
      <c r="D23" t="s">
        <v>66</v>
      </c>
      <c r="E23" t="s">
        <v>15</v>
      </c>
      <c r="F23" s="2">
        <v>45923</v>
      </c>
      <c r="G23" s="2">
        <v>45950</v>
      </c>
      <c r="H23" s="6">
        <f>Table13[[#This Row],[Due Date]]-Table13[[#This Row],[Start Date]]</f>
        <v>27</v>
      </c>
      <c r="I23" s="1" t="s">
        <v>16</v>
      </c>
      <c r="J23" s="1" t="b">
        <f ca="1">AND(Table13[[#This Row],[Status]]&lt;&gt;"Completed",Table13[[#This Row],[Due Date]]&lt;TODAY())</f>
        <v>0</v>
      </c>
      <c r="K23" t="s">
        <v>44</v>
      </c>
    </row>
    <row r="24" spans="2:11" x14ac:dyDescent="0.25">
      <c r="B24" s="1" t="s">
        <v>45</v>
      </c>
      <c r="C24" t="s">
        <v>64</v>
      </c>
      <c r="D24" t="s">
        <v>66</v>
      </c>
      <c r="E24" t="s">
        <v>15</v>
      </c>
      <c r="F24" s="2">
        <v>45924</v>
      </c>
      <c r="G24" s="2">
        <v>45935</v>
      </c>
      <c r="H24" s="6">
        <f>Table13[[#This Row],[Due Date]]-Table13[[#This Row],[Start Date]]</f>
        <v>11</v>
      </c>
      <c r="I24" s="1" t="s">
        <v>8</v>
      </c>
      <c r="J24" s="1" t="b">
        <f ca="1">AND(Table13[[#This Row],[Status]]&lt;&gt;"Completed",Table13[[#This Row],[Due Date]]&lt;TODAY())</f>
        <v>0</v>
      </c>
      <c r="K24" t="s">
        <v>46</v>
      </c>
    </row>
    <row r="25" spans="2:11" x14ac:dyDescent="0.25">
      <c r="B25" s="1" t="s">
        <v>47</v>
      </c>
      <c r="C25" t="s">
        <v>48</v>
      </c>
      <c r="D25" t="s">
        <v>65</v>
      </c>
      <c r="E25" t="s">
        <v>19</v>
      </c>
      <c r="F25" s="2">
        <v>45925</v>
      </c>
      <c r="G25" s="2">
        <v>45932</v>
      </c>
      <c r="H25" s="6">
        <f>Table13[[#This Row],[Due Date]]-Table13[[#This Row],[Start Date]]</f>
        <v>7</v>
      </c>
      <c r="I25" s="1" t="s">
        <v>16</v>
      </c>
      <c r="J25" s="1" t="b">
        <f ca="1">AND(Table13[[#This Row],[Status]]&lt;&gt;"Completed",Table13[[#This Row],[Due Date]]&lt;TODAY())</f>
        <v>0</v>
      </c>
      <c r="K25" t="s">
        <v>49</v>
      </c>
    </row>
    <row r="26" spans="2:11" x14ac:dyDescent="0.25">
      <c r="B26" s="1" t="s">
        <v>50</v>
      </c>
      <c r="C26" t="s">
        <v>67</v>
      </c>
      <c r="D26" s="3" t="s">
        <v>57</v>
      </c>
      <c r="E26" t="s">
        <v>15</v>
      </c>
      <c r="F26" s="2">
        <v>45926</v>
      </c>
      <c r="G26" s="2">
        <v>45960</v>
      </c>
      <c r="H26" s="6">
        <f>Table13[[#This Row],[Due Date]]-Table13[[#This Row],[Start Date]]</f>
        <v>34</v>
      </c>
      <c r="I26" s="1" t="s">
        <v>16</v>
      </c>
      <c r="J26" s="1" t="b">
        <f ca="1">AND(Table13[[#This Row],[Status]]&lt;&gt;"Completed",Table13[[#This Row],[Due Date]]&lt;TODAY())</f>
        <v>0</v>
      </c>
      <c r="K26" t="s">
        <v>51</v>
      </c>
    </row>
    <row r="27" spans="2:11" x14ac:dyDescent="0.25">
      <c r="B27" s="1" t="s">
        <v>52</v>
      </c>
      <c r="C27" t="s">
        <v>53</v>
      </c>
      <c r="D27" s="3" t="s">
        <v>57</v>
      </c>
      <c r="E27" t="s">
        <v>34</v>
      </c>
      <c r="F27" s="2">
        <v>45927</v>
      </c>
      <c r="G27" s="2">
        <v>45937</v>
      </c>
      <c r="H27" s="6">
        <f>Table13[[#This Row],[Due Date]]-Table13[[#This Row],[Start Date]]</f>
        <v>10</v>
      </c>
      <c r="I27" s="1" t="s">
        <v>8</v>
      </c>
      <c r="J27" s="1" t="b">
        <f ca="1">AND(Table13[[#This Row],[Status]]&lt;&gt;"Completed",Table13[[#This Row],[Due Date]]&lt;TODAY())</f>
        <v>0</v>
      </c>
      <c r="K27" t="s">
        <v>54</v>
      </c>
    </row>
    <row r="28" spans="2:11" x14ac:dyDescent="0.25">
      <c r="B28" s="1" t="s">
        <v>55</v>
      </c>
      <c r="C28" t="s">
        <v>56</v>
      </c>
      <c r="D28" t="s">
        <v>57</v>
      </c>
      <c r="E28" t="s">
        <v>34</v>
      </c>
      <c r="F28" s="2">
        <v>45928</v>
      </c>
      <c r="G28" s="2">
        <v>45948</v>
      </c>
      <c r="H28" s="6">
        <f>Table13[[#This Row],[Due Date]]-Table13[[#This Row],[Start Date]]</f>
        <v>20</v>
      </c>
      <c r="I28" s="1" t="s">
        <v>16</v>
      </c>
      <c r="J28" s="1" t="b">
        <f ca="1">AND(Table13[[#This Row],[Status]]&lt;&gt;"Completed",Table13[[#This Row],[Due Date]]&lt;TODAY())</f>
        <v>0</v>
      </c>
      <c r="K28" t="s">
        <v>58</v>
      </c>
    </row>
    <row r="29" spans="2:11" x14ac:dyDescent="0.25">
      <c r="B29" s="1" t="s">
        <v>59</v>
      </c>
      <c r="C29" t="s">
        <v>60</v>
      </c>
      <c r="D29" t="s">
        <v>65</v>
      </c>
      <c r="E29" t="s">
        <v>34</v>
      </c>
      <c r="F29" s="2">
        <v>45929</v>
      </c>
      <c r="G29" s="2">
        <v>45934</v>
      </c>
      <c r="H29" s="6">
        <f>Table13[[#This Row],[Due Date]]-Table13[[#This Row],[Start Date]]</f>
        <v>5</v>
      </c>
      <c r="I29" s="1" t="s">
        <v>9</v>
      </c>
      <c r="J29" s="1" t="b">
        <f ca="1">AND(Table13[[#This Row],[Status]]&lt;&gt;"Completed",Table13[[#This Row],[Due Date]]&lt;TODAY())</f>
        <v>0</v>
      </c>
      <c r="K29" t="s">
        <v>61</v>
      </c>
    </row>
    <row r="33" spans="5:5" x14ac:dyDescent="0.25">
      <c r="E33" s="1"/>
    </row>
    <row r="34" spans="5:5" x14ac:dyDescent="0.25">
      <c r="E34" s="1"/>
    </row>
    <row r="35" spans="5:5" x14ac:dyDescent="0.25">
      <c r="E35" s="1"/>
    </row>
    <row r="36" spans="5:5" x14ac:dyDescent="0.25">
      <c r="E36" s="1"/>
    </row>
    <row r="37" spans="5:5" x14ac:dyDescent="0.25">
      <c r="E37" s="1"/>
    </row>
    <row r="38" spans="5:5" x14ac:dyDescent="0.25">
      <c r="E38" s="1"/>
    </row>
    <row r="39" spans="5:5" x14ac:dyDescent="0.25">
      <c r="E39" s="1"/>
    </row>
    <row r="40" spans="5:5" x14ac:dyDescent="0.25">
      <c r="E40" s="1"/>
    </row>
    <row r="41" spans="5:5" x14ac:dyDescent="0.25">
      <c r="E41" s="1"/>
    </row>
    <row r="42" spans="5:5" x14ac:dyDescent="0.25">
      <c r="E42" s="1"/>
    </row>
    <row r="43" spans="5:5" x14ac:dyDescent="0.25">
      <c r="E43" s="1"/>
    </row>
    <row r="44" spans="5:5" x14ac:dyDescent="0.25">
      <c r="E44" s="1"/>
    </row>
    <row r="45" spans="5:5" x14ac:dyDescent="0.25">
      <c r="E45" s="1"/>
    </row>
    <row r="46" spans="5:5" x14ac:dyDescent="0.25">
      <c r="E46" s="1"/>
    </row>
    <row r="47" spans="5:5" x14ac:dyDescent="0.25">
      <c r="E47" s="1"/>
    </row>
  </sheetData>
  <conditionalFormatting sqref="I15:I29">
    <cfRule type="cellIs" dxfId="3" priority="4" operator="equal">
      <formula>"Completed"</formula>
    </cfRule>
    <cfRule type="cellIs" dxfId="2" priority="3" operator="equal">
      <formula>"In Progress"</formula>
    </cfRule>
    <cfRule type="cellIs" dxfId="1" priority="2" operator="equal">
      <formula>"Not Started"</formula>
    </cfRule>
  </conditionalFormatting>
  <conditionalFormatting sqref="J15:J29">
    <cfRule type="cellIs" dxfId="0" priority="1" operator="equal">
      <formula>TRUE</formula>
    </cfRule>
  </conditionalFormatting>
  <pageMargins left="0.7" right="0.7" top="0.75" bottom="0.75" header="0.3" footer="0.3"/>
  <pageSetup paperSize="9" orientation="portrait" horizontalDpi="0" verticalDpi="0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9E7FF7C-214F-4B43-B992-49F193E501F3}">
          <x14:formula1>
            <xm:f>'Support Sheet'!$E$3:$E$7</xm:f>
          </x14:formula1>
          <xm:sqref>E15:E29</xm:sqref>
        </x14:dataValidation>
        <x14:dataValidation type="list" allowBlank="1" showInputMessage="1" showErrorMessage="1" xr:uid="{1D254F5A-4E5A-4592-8D6A-41F877ECBC7F}">
          <x14:formula1>
            <xm:f>'Support Sheet'!$H$3:$H$6</xm:f>
          </x14:formula1>
          <xm:sqref>D15:D29</xm:sqref>
        </x14:dataValidation>
        <x14:dataValidation type="list" allowBlank="1" showInputMessage="1" showErrorMessage="1" xr:uid="{032CC933-DCC9-41A4-A2E0-A978D4BB0AA3}">
          <x14:formula1>
            <xm:f>'Support Sheet'!$B$3:$B$5</xm:f>
          </x14:formula1>
          <xm:sqref>I15:I29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7C557-3B4B-4F83-8F9C-77D1E3FC486E}">
  <dimension ref="B2:K10"/>
  <sheetViews>
    <sheetView zoomScale="115" zoomScaleNormal="115" workbookViewId="0">
      <selection activeCell="G10" sqref="G10"/>
    </sheetView>
  </sheetViews>
  <sheetFormatPr defaultColWidth="11.125" defaultRowHeight="15.75" x14ac:dyDescent="0.25"/>
  <cols>
    <col min="1" max="1" width="3.375" customWidth="1"/>
    <col min="3" max="3" width="6.125" bestFit="1" customWidth="1"/>
    <col min="4" max="4" width="7.875" customWidth="1"/>
    <col min="5" max="5" width="14.125" bestFit="1" customWidth="1"/>
    <col min="6" max="6" width="6.125" style="1" bestFit="1" customWidth="1"/>
    <col min="7" max="7" width="7.875" customWidth="1"/>
    <col min="9" max="9" width="6.125" bestFit="1" customWidth="1"/>
    <col min="10" max="10" width="7.875" customWidth="1"/>
    <col min="11" max="11" width="8" bestFit="1" customWidth="1"/>
  </cols>
  <sheetData>
    <row r="2" spans="2:11" x14ac:dyDescent="0.25">
      <c r="B2" s="5" t="s">
        <v>4</v>
      </c>
      <c r="C2" s="5" t="s">
        <v>68</v>
      </c>
      <c r="E2" s="5" t="s">
        <v>10</v>
      </c>
      <c r="F2" s="5" t="s">
        <v>68</v>
      </c>
      <c r="H2" s="5" t="s">
        <v>69</v>
      </c>
      <c r="I2" s="5" t="s">
        <v>68</v>
      </c>
      <c r="K2" s="5" t="s">
        <v>12</v>
      </c>
    </row>
    <row r="3" spans="2:11" x14ac:dyDescent="0.25">
      <c r="B3" t="s">
        <v>16</v>
      </c>
      <c r="C3" s="1">
        <f>COUNTIF(Table13[Status],'Support Sheet'!B3)</f>
        <v>7</v>
      </c>
      <c r="E3" t="s">
        <v>15</v>
      </c>
      <c r="F3" s="1">
        <f>COUNTIF(Table13[Task Owner],'Support Sheet'!E3)</f>
        <v>6</v>
      </c>
      <c r="H3" t="s">
        <v>65</v>
      </c>
      <c r="I3" s="1">
        <f>COUNTIF(Table13[Team],'Support Sheet'!H3)</f>
        <v>4</v>
      </c>
      <c r="K3" s="1">
        <f ca="1">COUNTIF(Table13[Overdue?],TRUE)</f>
        <v>2</v>
      </c>
    </row>
    <row r="4" spans="2:11" x14ac:dyDescent="0.25">
      <c r="B4" t="s">
        <v>8</v>
      </c>
      <c r="C4" s="1">
        <f>COUNTIF(Table13[Status],'Support Sheet'!B4)</f>
        <v>6</v>
      </c>
      <c r="E4" t="s">
        <v>19</v>
      </c>
      <c r="F4" s="1">
        <f>COUNTIF(Table13[Task Owner],'Support Sheet'!E4)</f>
        <v>3</v>
      </c>
      <c r="H4" t="s">
        <v>57</v>
      </c>
      <c r="I4" s="1">
        <f>COUNTIF(Table13[Team],'Support Sheet'!H4)</f>
        <v>6</v>
      </c>
    </row>
    <row r="5" spans="2:11" x14ac:dyDescent="0.25">
      <c r="B5" t="s">
        <v>9</v>
      </c>
      <c r="C5" s="1">
        <f>COUNTIF(Table13[Status],'Support Sheet'!B5)</f>
        <v>2</v>
      </c>
      <c r="E5" t="s">
        <v>26</v>
      </c>
      <c r="F5" s="1">
        <f>COUNTIF(Table13[Task Owner],'Support Sheet'!E5)</f>
        <v>1</v>
      </c>
      <c r="H5" t="s">
        <v>66</v>
      </c>
      <c r="I5" s="1">
        <f>COUNTIF(Table13[Team],'Support Sheet'!H5)</f>
        <v>4</v>
      </c>
    </row>
    <row r="6" spans="2:11" x14ac:dyDescent="0.25">
      <c r="B6" t="s">
        <v>70</v>
      </c>
      <c r="C6" s="1">
        <f>SUM(C3:C5)</f>
        <v>15</v>
      </c>
      <c r="E6" t="s">
        <v>30</v>
      </c>
      <c r="F6" s="1">
        <f>COUNTIF(Table13[Task Owner],'Support Sheet'!E6)</f>
        <v>2</v>
      </c>
      <c r="H6" t="s">
        <v>40</v>
      </c>
      <c r="I6" s="1">
        <f>COUNTIF(Table13[Team],'Support Sheet'!H6)</f>
        <v>1</v>
      </c>
    </row>
    <row r="7" spans="2:11" x14ac:dyDescent="0.25">
      <c r="E7" t="s">
        <v>34</v>
      </c>
      <c r="F7" s="1">
        <f>COUNTIF(Table13[Task Owner],'Support Sheet'!E7)</f>
        <v>3</v>
      </c>
      <c r="I7" s="1"/>
    </row>
    <row r="10" spans="2:11" x14ac:dyDescent="0.25">
      <c r="E1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Support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sai2822002@gmail.com</cp:lastModifiedBy>
  <dcterms:created xsi:type="dcterms:W3CDTF">2025-09-19T00:51:58Z</dcterms:created>
  <dcterms:modified xsi:type="dcterms:W3CDTF">2025-10-01T05:52:58Z</dcterms:modified>
</cp:coreProperties>
</file>